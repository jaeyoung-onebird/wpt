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sz val="10"/>
    </font>
    <font>
      <b val="1"/>
      <color rgb="001F4E79"/>
      <sz val="11"/>
    </font>
    <font>
      <b val="1"/>
      <color rgb="00FFFFFF"/>
      <sz val="10"/>
    </font>
    <font>
      <b val="1"/>
    </font>
    <font>
      <b val="1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E7F0FD"/>
        <bgColor rgb="00E7F0FD"/>
      </patternFill>
    </fill>
    <fill>
      <patternFill patternType="solid">
        <fgColor rgb="00D9E2F3"/>
        <bgColor rgb="00D9E2F3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35" customHeight="1">
      <c r="A1" s="1" t="inlineStr">
        <is>
          <t>행 사 보 고 서</t>
        </is>
      </c>
    </row>
    <row r="3">
      <c r="A3" s="2" t="inlineStr">
        <is>
          <t>행 사 명</t>
        </is>
      </c>
      <c r="B3" s="3" t="n"/>
      <c r="C3" s="4" t="inlineStr">
        <is>
          <t>TEST 볼보행사</t>
        </is>
      </c>
      <c r="D3" s="3" t="n"/>
      <c r="E3" s="3" t="n"/>
      <c r="F3" s="3" t="n"/>
      <c r="G3" s="2" t="inlineStr">
        <is>
          <t>상 호 명</t>
        </is>
      </c>
      <c r="I3" s="4" t="inlineStr"/>
    </row>
    <row r="4">
      <c r="A4" s="2" t="inlineStr">
        <is>
          <t>행사일시</t>
        </is>
      </c>
      <c r="B4" s="3" t="n"/>
      <c r="C4" s="4" t="inlineStr">
        <is>
          <t>01월 25일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inlineStr">
        <is>
          <t>행사장소</t>
        </is>
      </c>
      <c r="B5" s="3" t="n"/>
      <c r="C5" s="4" t="inlineStr">
        <is>
          <t>볼보 송파전시장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inlineStr">
        <is>
          <t>담 당 자</t>
        </is>
      </c>
      <c r="B6" s="3" t="n"/>
      <c r="C6" s="4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>
      <c r="A8" s="5" t="inlineStr">
        <is>
          <t>청 구 상 세 내 역</t>
        </is>
      </c>
    </row>
    <row r="9">
      <c r="A9" s="6" t="inlineStr">
        <is>
          <t>NO</t>
        </is>
      </c>
      <c r="B9" s="6" t="inlineStr">
        <is>
          <t>항 목</t>
        </is>
      </c>
      <c r="C9" s="3" t="n"/>
      <c r="D9" s="3" t="n"/>
      <c r="E9" s="6" t="inlineStr">
        <is>
          <t>인원</t>
        </is>
      </c>
      <c r="F9" s="6" t="inlineStr">
        <is>
          <t>수량</t>
        </is>
      </c>
      <c r="G9" s="6" t="inlineStr">
        <is>
          <t>금 액</t>
        </is>
      </c>
      <c r="H9" s="3" t="n"/>
      <c r="I9" s="6" t="inlineStr">
        <is>
          <t>부가세(10%)</t>
        </is>
      </c>
      <c r="J9" s="3" t="n"/>
      <c r="K9" s="6" t="inlineStr">
        <is>
          <t>비 고</t>
        </is>
      </c>
      <c r="L9" s="3" t="n"/>
    </row>
    <row r="10">
      <c r="A10" s="7" t="inlineStr"/>
      <c r="B10" s="3" t="inlineStr"/>
      <c r="C10" s="3" t="n"/>
      <c r="D10" s="3" t="n"/>
      <c r="E10" s="7" t="inlineStr"/>
      <c r="F10" s="7" t="inlineStr"/>
      <c r="G10" s="8" t="n"/>
      <c r="H10" s="3" t="n"/>
      <c r="I10" s="8">
        <f>IF(G10="","",ROUND(G10*0.1,0))</f>
        <v/>
      </c>
      <c r="J10" s="3" t="n"/>
      <c r="K10" s="3" t="inlineStr"/>
      <c r="L10" s="3" t="n"/>
    </row>
    <row r="11">
      <c r="A11" s="7" t="inlineStr"/>
      <c r="B11" s="3" t="inlineStr"/>
      <c r="C11" s="3" t="n"/>
      <c r="D11" s="3" t="n"/>
      <c r="E11" s="7" t="inlineStr"/>
      <c r="F11" s="7" t="inlineStr"/>
      <c r="G11" s="8" t="n"/>
      <c r="H11" s="3" t="n"/>
      <c r="I11" s="8">
        <f>IF(G11="","",ROUND(G11*0.1,0))</f>
        <v/>
      </c>
      <c r="J11" s="3" t="n"/>
      <c r="K11" s="3" t="inlineStr"/>
      <c r="L11" s="3" t="n"/>
    </row>
    <row r="12">
      <c r="A12" s="7" t="inlineStr"/>
      <c r="B12" s="3" t="inlineStr"/>
      <c r="C12" s="3" t="n"/>
      <c r="D12" s="3" t="n"/>
      <c r="E12" s="7" t="inlineStr"/>
      <c r="F12" s="7" t="inlineStr"/>
      <c r="G12" s="8" t="n"/>
      <c r="H12" s="3" t="n"/>
      <c r="I12" s="8">
        <f>IF(G12="","",ROUND(G12*0.1,0))</f>
        <v/>
      </c>
      <c r="J12" s="3" t="n"/>
      <c r="K12" s="3" t="inlineStr"/>
      <c r="L12" s="3" t="n"/>
    </row>
    <row r="13">
      <c r="A13" s="7" t="inlineStr"/>
      <c r="B13" s="3" t="inlineStr"/>
      <c r="C13" s="3" t="n"/>
      <c r="D13" s="3" t="n"/>
      <c r="E13" s="7" t="inlineStr"/>
      <c r="F13" s="7" t="inlineStr"/>
      <c r="G13" s="8" t="n"/>
      <c r="H13" s="3" t="n"/>
      <c r="I13" s="8">
        <f>IF(G13="","",ROUND(G13*0.1,0))</f>
        <v/>
      </c>
      <c r="J13" s="3" t="n"/>
      <c r="K13" s="3" t="inlineStr"/>
      <c r="L13" s="3" t="n"/>
    </row>
    <row r="14">
      <c r="A14" s="7" t="inlineStr"/>
      <c r="B14" s="3" t="inlineStr"/>
      <c r="C14" s="3" t="n"/>
      <c r="D14" s="3" t="n"/>
      <c r="E14" s="7" t="inlineStr"/>
      <c r="F14" s="7" t="inlineStr"/>
      <c r="G14" s="8" t="n"/>
      <c r="H14" s="3" t="n"/>
      <c r="I14" s="8">
        <f>IF(G14="","",ROUND(G14*0.1,0))</f>
        <v/>
      </c>
      <c r="J14" s="3" t="n"/>
      <c r="K14" s="3" t="inlineStr"/>
      <c r="L14" s="3" t="n"/>
    </row>
    <row r="15">
      <c r="A15" s="9" t="inlineStr">
        <is>
          <t>합 계 ( 부가세 포함 )</t>
        </is>
      </c>
      <c r="B15" s="3" t="n"/>
      <c r="C15" s="3" t="n"/>
      <c r="D15" s="3" t="n"/>
      <c r="E15" s="3" t="n"/>
      <c r="F15" s="3" t="n"/>
      <c r="G15" s="10">
        <f>SUM(G10:G14)+SUM(I10:I14)</f>
        <v/>
      </c>
      <c r="H15" s="3" t="n"/>
      <c r="I15" s="3" t="n"/>
      <c r="J15" s="3" t="n"/>
      <c r="K15" s="3" t="n"/>
      <c r="L15" s="3" t="n"/>
    </row>
    <row r="17">
      <c r="A17" s="5" t="inlineStr">
        <is>
          <t>경 비 내 역</t>
        </is>
      </c>
    </row>
    <row r="18">
      <c r="A18" s="6" t="inlineStr">
        <is>
          <t>NO</t>
        </is>
      </c>
      <c r="B18" s="6" t="inlineStr">
        <is>
          <t>사용처</t>
        </is>
      </c>
      <c r="C18" s="3" t="n"/>
      <c r="D18" s="6" t="inlineStr">
        <is>
          <t>구분</t>
        </is>
      </c>
      <c r="E18" s="6" t="inlineStr">
        <is>
          <t>항 목</t>
        </is>
      </c>
      <c r="F18" s="3" t="n"/>
      <c r="G18" s="6" t="inlineStr">
        <is>
          <t>금 액</t>
        </is>
      </c>
      <c r="H18" s="3" t="n"/>
      <c r="I18" s="6" t="inlineStr">
        <is>
          <t>지급내용</t>
        </is>
      </c>
      <c r="J18" s="3" t="n"/>
      <c r="K18" s="6" t="inlineStr">
        <is>
          <t>비 고</t>
        </is>
      </c>
      <c r="L18" s="3" t="n"/>
    </row>
    <row r="19">
      <c r="A19" s="7" t="inlineStr"/>
      <c r="B19" s="3" t="inlineStr"/>
      <c r="C19" s="3" t="n"/>
      <c r="D19" s="7" t="inlineStr"/>
      <c r="E19" s="3" t="inlineStr"/>
      <c r="F19" s="3" t="n"/>
      <c r="G19" s="8" t="n"/>
      <c r="H19" s="3" t="n"/>
      <c r="I19" s="3" t="inlineStr"/>
      <c r="J19" s="3" t="n"/>
      <c r="K19" s="3" t="inlineStr"/>
      <c r="L19" s="3" t="n"/>
    </row>
    <row r="20">
      <c r="A20" s="7" t="inlineStr"/>
      <c r="B20" s="3" t="inlineStr"/>
      <c r="C20" s="3" t="n"/>
      <c r="D20" s="7" t="inlineStr"/>
      <c r="E20" s="3" t="inlineStr"/>
      <c r="F20" s="3" t="n"/>
      <c r="G20" s="8" t="n"/>
      <c r="H20" s="3" t="n"/>
      <c r="I20" s="3" t="inlineStr"/>
      <c r="J20" s="3" t="n"/>
      <c r="K20" s="3" t="inlineStr"/>
      <c r="L20" s="3" t="n"/>
    </row>
    <row r="21">
      <c r="A21" s="7" t="inlineStr"/>
      <c r="B21" s="3" t="inlineStr"/>
      <c r="C21" s="3" t="n"/>
      <c r="D21" s="7" t="inlineStr"/>
      <c r="E21" s="3" t="inlineStr"/>
      <c r="F21" s="3" t="n"/>
      <c r="G21" s="8" t="n"/>
      <c r="H21" s="3" t="n"/>
      <c r="I21" s="3" t="inlineStr"/>
      <c r="J21" s="3" t="n"/>
      <c r="K21" s="3" t="inlineStr"/>
      <c r="L21" s="3" t="n"/>
    </row>
    <row r="22">
      <c r="A22" s="7" t="inlineStr"/>
      <c r="B22" s="3" t="inlineStr"/>
      <c r="C22" s="3" t="n"/>
      <c r="D22" s="7" t="inlineStr"/>
      <c r="E22" s="3" t="inlineStr"/>
      <c r="F22" s="3" t="n"/>
      <c r="G22" s="8" t="n"/>
      <c r="H22" s="3" t="n"/>
      <c r="I22" s="3" t="inlineStr"/>
      <c r="J22" s="3" t="n"/>
      <c r="K22" s="3" t="inlineStr"/>
      <c r="L22" s="3" t="n"/>
    </row>
    <row r="23">
      <c r="A23" s="9" t="inlineStr">
        <is>
          <t>합 계</t>
        </is>
      </c>
      <c r="B23" s="3" t="n"/>
      <c r="C23" s="3" t="n"/>
      <c r="D23" s="3" t="n"/>
      <c r="E23" s="3" t="n"/>
      <c r="F23" s="3" t="n"/>
      <c r="G23" s="10">
        <f>SUM(G19:G22)</f>
        <v/>
      </c>
      <c r="H23" s="3" t="n"/>
      <c r="I23" s="3" t="n"/>
      <c r="J23" s="3" t="n"/>
      <c r="K23" s="3" t="n"/>
      <c r="L23" s="3" t="n"/>
    </row>
    <row r="25">
      <c r="A25" s="5" t="inlineStr">
        <is>
          <t>인 건 비 내 역</t>
        </is>
      </c>
    </row>
    <row r="26">
      <c r="A26" s="6" t="inlineStr">
        <is>
          <t>NO</t>
        </is>
      </c>
      <c r="B26" s="6" t="inlineStr">
        <is>
          <t>날짜</t>
        </is>
      </c>
      <c r="C26" s="6" t="inlineStr">
        <is>
          <t>근무자</t>
        </is>
      </c>
      <c r="D26" s="6" t="inlineStr">
        <is>
          <t>주민번호</t>
        </is>
      </c>
      <c r="E26" s="6" t="inlineStr">
        <is>
          <t>은행</t>
        </is>
      </c>
      <c r="F26" s="6" t="inlineStr">
        <is>
          <t>은행코드</t>
        </is>
      </c>
      <c r="G26" s="6" t="inlineStr">
        <is>
          <t>계좌번호</t>
        </is>
      </c>
      <c r="H26" s="6" t="inlineStr">
        <is>
          <t>세후지급액</t>
        </is>
      </c>
      <c r="I26" s="6" t="inlineStr">
        <is>
          <t>세전지급액</t>
        </is>
      </c>
      <c r="J26" s="6" t="inlineStr">
        <is>
          <t>공제액</t>
        </is>
      </c>
      <c r="K26" s="6" t="inlineStr">
        <is>
          <t>비고</t>
        </is>
      </c>
      <c r="L26" s="3" t="n"/>
    </row>
    <row r="27">
      <c r="A27" s="7" t="n">
        <v>1</v>
      </c>
      <c r="B27" s="7" t="inlineStr">
        <is>
          <t>260125</t>
        </is>
      </c>
      <c r="C27" s="7" t="inlineStr">
        <is>
          <t>김재영</t>
        </is>
      </c>
      <c r="D27" s="7" t="n"/>
      <c r="E27" s="7" t="inlineStr">
        <is>
          <t>카카오</t>
        </is>
      </c>
      <c r="F27" s="7" t="inlineStr">
        <is>
          <t>090</t>
        </is>
      </c>
      <c r="G27" s="7" t="inlineStr">
        <is>
          <t>3333014565333</t>
        </is>
      </c>
      <c r="H27" s="8" t="n">
        <v>125710</v>
      </c>
      <c r="I27" s="8" t="n">
        <v>130000</v>
      </c>
      <c r="J27" s="8" t="n">
        <v>4290</v>
      </c>
      <c r="K27" s="7" t="inlineStr"/>
      <c r="L27" s="3" t="n"/>
    </row>
    <row r="28">
      <c r="A28" s="9" t="inlineStr">
        <is>
          <t>합 계 (1명)</t>
        </is>
      </c>
      <c r="B28" s="11" t="n"/>
      <c r="C28" s="11" t="n"/>
      <c r="D28" s="11" t="n"/>
      <c r="E28" s="11" t="n"/>
      <c r="F28" s="11" t="n"/>
      <c r="G28" s="11" t="n"/>
      <c r="H28" s="10">
        <f>SUM(H27:H27)</f>
        <v/>
      </c>
      <c r="I28" s="10">
        <f>SUM(I27:I27)</f>
        <v/>
      </c>
      <c r="J28" s="10">
        <f>SUM(J27:J27)</f>
        <v/>
      </c>
      <c r="K28" s="11" t="n"/>
      <c r="L28" s="3" t="n"/>
    </row>
    <row r="30">
      <c r="A30" s="12" t="inlineStr">
        <is>
          <t>※ 특이사항 기재요망</t>
        </is>
      </c>
    </row>
    <row r="31">
      <c r="A31" s="13" t="inlineStr">
        <is>
          <t>- 특이사항 없이 행사는 잘 마무리 되었습니다.</t>
        </is>
      </c>
      <c r="B31" s="3" t="n"/>
      <c r="C31" s="3" t="n"/>
      <c r="D31" s="3" t="n"/>
      <c r="E31" s="3" t="n"/>
      <c r="F31" s="3" t="n"/>
      <c r="G31" s="3" t="n"/>
      <c r="I31" s="14" t="inlineStr">
        <is>
          <t>★ 청 산 금 액 ★</t>
        </is>
      </c>
      <c r="J31" s="3" t="n"/>
      <c r="K31" s="3" t="n"/>
      <c r="L31" s="3" t="n"/>
    </row>
    <row r="32">
      <c r="A32" s="13" t="n"/>
      <c r="B32" s="3" t="n"/>
      <c r="C32" s="3" t="n"/>
      <c r="D32" s="3" t="n"/>
      <c r="E32" s="3" t="n"/>
      <c r="F32" s="3" t="n"/>
      <c r="G32" s="3" t="n"/>
      <c r="I32" s="15" t="inlineStr">
        <is>
          <t>수입</t>
        </is>
      </c>
      <c r="J32" s="3" t="n"/>
      <c r="K32" s="8">
        <f>G15</f>
        <v/>
      </c>
      <c r="L32" s="3" t="n"/>
    </row>
    <row r="33">
      <c r="A33" s="13" t="n"/>
      <c r="B33" s="3" t="n"/>
      <c r="C33" s="3" t="n"/>
      <c r="D33" s="3" t="n"/>
      <c r="E33" s="3" t="n"/>
      <c r="F33" s="3" t="n"/>
      <c r="G33" s="3" t="n"/>
      <c r="I33" s="15" t="inlineStr">
        <is>
          <t>지출</t>
        </is>
      </c>
      <c r="J33" s="3" t="n"/>
      <c r="K33" s="8">
        <f>I28+G23</f>
        <v/>
      </c>
      <c r="L33" s="3" t="n"/>
    </row>
    <row r="34">
      <c r="A34" s="13" t="n"/>
      <c r="B34" s="3" t="n"/>
      <c r="C34" s="3" t="n"/>
      <c r="D34" s="3" t="n"/>
      <c r="E34" s="3" t="n"/>
      <c r="F34" s="3" t="n"/>
      <c r="G34" s="3" t="n"/>
      <c r="I34" s="16" t="inlineStr">
        <is>
          <t>행사 수익금</t>
        </is>
      </c>
      <c r="J34" s="3" t="n"/>
      <c r="K34" s="17">
        <f>K32-K33</f>
        <v/>
      </c>
      <c r="L34" s="3" t="n"/>
    </row>
  </sheetData>
  <mergeCells count="82">
    <mergeCell ref="B11:D11"/>
    <mergeCell ref="G21:H21"/>
    <mergeCell ref="K33:L33"/>
    <mergeCell ref="B22:C22"/>
    <mergeCell ref="K26:L26"/>
    <mergeCell ref="A28:G28"/>
    <mergeCell ref="B21:C21"/>
    <mergeCell ref="C6:F6"/>
    <mergeCell ref="G18:H18"/>
    <mergeCell ref="I18:J18"/>
    <mergeCell ref="A15:F15"/>
    <mergeCell ref="G20:H20"/>
    <mergeCell ref="I20:J20"/>
    <mergeCell ref="K28:L28"/>
    <mergeCell ref="E22:F22"/>
    <mergeCell ref="I13:J13"/>
    <mergeCell ref="G22:H22"/>
    <mergeCell ref="K13:L13"/>
    <mergeCell ref="G12:H12"/>
    <mergeCell ref="B18:C18"/>
    <mergeCell ref="K21:L21"/>
    <mergeCell ref="B10:D10"/>
    <mergeCell ref="C3:F3"/>
    <mergeCell ref="I31:L31"/>
    <mergeCell ref="I32:J32"/>
    <mergeCell ref="A34:G34"/>
    <mergeCell ref="K32:L32"/>
    <mergeCell ref="B9:D9"/>
    <mergeCell ref="C5:F5"/>
    <mergeCell ref="C4:F4"/>
    <mergeCell ref="I33:J33"/>
    <mergeCell ref="K27:L27"/>
    <mergeCell ref="I10:J10"/>
    <mergeCell ref="K10:L10"/>
    <mergeCell ref="I19:J19"/>
    <mergeCell ref="K19:L19"/>
    <mergeCell ref="G23:L23"/>
    <mergeCell ref="G9:H9"/>
    <mergeCell ref="E18:F18"/>
    <mergeCell ref="I9:J9"/>
    <mergeCell ref="A32:G32"/>
    <mergeCell ref="B14:D14"/>
    <mergeCell ref="A25:L25"/>
    <mergeCell ref="G11:H11"/>
    <mergeCell ref="K9:L9"/>
    <mergeCell ref="I11:J11"/>
    <mergeCell ref="B13:D13"/>
    <mergeCell ref="K11:L11"/>
    <mergeCell ref="E20:F20"/>
    <mergeCell ref="G13:H13"/>
    <mergeCell ref="A3:B3"/>
    <mergeCell ref="I21:J21"/>
    <mergeCell ref="B19:C19"/>
    <mergeCell ref="A5:B5"/>
    <mergeCell ref="A4:B4"/>
    <mergeCell ref="B20:C20"/>
    <mergeCell ref="B12:D12"/>
    <mergeCell ref="K18:L18"/>
    <mergeCell ref="I34:J34"/>
    <mergeCell ref="K34:L34"/>
    <mergeCell ref="A6:B6"/>
    <mergeCell ref="G15:L15"/>
    <mergeCell ref="K20:L20"/>
    <mergeCell ref="A31:G31"/>
    <mergeCell ref="G10:H10"/>
    <mergeCell ref="E19:F19"/>
    <mergeCell ref="A23:F23"/>
    <mergeCell ref="G19:H19"/>
    <mergeCell ref="A8:L8"/>
    <mergeCell ref="A17:L17"/>
    <mergeCell ref="I22:J22"/>
    <mergeCell ref="K22:L22"/>
    <mergeCell ref="G3:H3"/>
    <mergeCell ref="I12:J12"/>
    <mergeCell ref="K12:L12"/>
    <mergeCell ref="G14:H14"/>
    <mergeCell ref="I14:J14"/>
    <mergeCell ref="K14:L14"/>
    <mergeCell ref="I3:L3"/>
    <mergeCell ref="A1:L1"/>
    <mergeCell ref="A33:G33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2026-01-26T08:51:52Z</dcterms:created>
  <dcterms:modified xsi:type="dcterms:W3CDTF">2026-01-26T08:51:53Z</dcterms:modified>
</cp:coreProperties>
</file>